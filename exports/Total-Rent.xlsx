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8b5045b70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d607ec969a4e15"/>
    <x:sheet xmlns:r="http://schemas.openxmlformats.org/officeDocument/2006/relationships" name="Rentals" sheetId="2" r:id="R7b2b69c3d5524cfb"/>
    <x:sheet xmlns:r="http://schemas.openxmlformats.org/officeDocument/2006/relationships" name="Items" sheetId="3" r:id="Rbbce25554c1442cf"/>
    <x:sheet xmlns:r="http://schemas.openxmlformats.org/officeDocument/2006/relationships" name="Needs Review" sheetId="4" r:id="R5d7dbe1cf1814400"/>
    <x:sheet xmlns:r="http://schemas.openxmlformats.org/officeDocument/2006/relationships" name="Audit Log" sheetId="5" r:id="R0a9ff8e86410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M&quot; #,##0.00"/>
    <x:numFmt numFmtId="201" formatCode="yyyy-mm-dd"/>
    <x:numFmt numFmtId="202" formatCode="yyyy-mm-dd hh:mm"/>
  </x:numFmts>
  <x:fonts count="7">
    <x:font>
      <x:sz val="11"/>
      <x:name val="Carlito"/>
    </x:font>
    <x:font>
      <x:sz val="10"/>
      <x:color rgb="FF172126"/>
      <x:name val="Aptos"/>
    </x:font>
    <x:font>
      <x:b/>
      <x:sz val="22"/>
      <x:color rgb="FFEEF7F5"/>
      <x:name val="Aptos"/>
    </x:font>
    <x:font>
      <x:i/>
      <x:sz val="10"/>
      <x:color rgb="FF9CB0B7"/>
      <x:name val="Aptos"/>
    </x:font>
    <x:font>
      <x:b/>
      <x:sz val="10"/>
      <x:color rgb="FFEEF7F5"/>
      <x:name val="Aptos"/>
    </x:font>
    <x:font>
      <x:b/>
      <x:sz val="16"/>
      <x:color rgb="FF0B3B3A"/>
      <x:name val="Aptos"/>
    </x:font>
    <x:font>
      <x:sz val="10"/>
      <x:color rgb="FF5B3A08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71018"/>
      </x:patternFill>
    </x:fill>
    <x:fill>
      <x:patternFill patternType="solid">
        <x:fgColor rgb="FF11232C"/>
      </x:patternFill>
    </x:fill>
    <x:fill>
      <x:patternFill patternType="solid">
        <x:fgColor rgb="FF17313B"/>
      </x:patternFill>
    </x:fill>
    <x:fill>
      <x:patternFill patternType="solid">
        <x:fgColor rgb="FFEAF8F6"/>
      </x:patternFill>
    </x:fill>
    <x:fill>
      <x:patternFill patternType="solid">
        <x:fgColor rgb="FFFFF7E8"/>
      </x:patternFill>
    </x:fill>
  </x:fills>
  <x:borders count="15">
    <x:border/>
    <x:border>
      <x:left style="thin">
        <x:color rgb="FF28434D"/>
      </x:left>
      <x:top style="thin">
        <x:color rgb="FF28434D"/>
      </x:top>
      <x:bottom style="thin">
        <x:color rgb="FF28434D"/>
      </x:bottom>
    </x:border>
    <x:border>
      <x:right style="thin">
        <x:color rgb="FF28434D"/>
      </x:right>
      <x:top style="thin">
        <x:color rgb="FF28434D"/>
      </x:top>
      <x:bottom style="thin">
        <x:color rgb="FF28434D"/>
      </x:bottom>
    </x:border>
    <x:border>
      <x:left style="thin">
        <x:color rgb="FFBBDDD8"/>
      </x:left>
      <x:right style="thin">
        <x:color rgb="FFBBDDD8"/>
      </x:right>
      <x:top style="thin">
        <x:color rgb="FFBBDDD8"/>
      </x:top>
    </x:border>
    <x:border>
      <x:left style="thin">
        <x:color rgb="FFBBDDD8"/>
      </x:left>
      <x:right style="thin">
        <x:color rgb="FFBBDDD8"/>
      </x:right>
      <x:bottom style="thin">
        <x:color rgb="FFBBDDD8"/>
      </x:bottom>
    </x:border>
    <x:border>
      <x:top style="thin">
        <x:color rgb="FF28434D"/>
      </x:top>
      <x:bottom style="thin">
        <x:color rgb="FF28434D"/>
      </x:bottom>
    </x:border>
    <x:border>
      <x:left style="thin">
        <x:color rgb="FF28434D"/>
      </x:left>
      <x:right style="thin">
        <x:color rgb="FFD7E2E4"/>
      </x:right>
      <x:top style="thin">
        <x:color rgb="FF28434D"/>
      </x:top>
      <x:bottom style="thin">
        <x:color rgb="FFD7E2E4"/>
      </x:bottom>
    </x:border>
    <x:border>
      <x:left style="thin">
        <x:color rgb="FFD7E2E4"/>
      </x:left>
      <x:right style="thin">
        <x:color rgb="FFD7E2E4"/>
      </x:right>
      <x:top style="thin">
        <x:color rgb="FF28434D"/>
      </x:top>
      <x:bottom style="thin">
        <x:color rgb="FFD7E2E4"/>
      </x:bottom>
    </x:border>
    <x:border>
      <x:left style="thin">
        <x:color rgb="FFD7E2E4"/>
      </x:left>
      <x:top style="thin">
        <x:color rgb="FF28434D"/>
      </x:top>
      <x:bottom style="thin">
        <x:color rgb="FFD7E2E4"/>
      </x:bottom>
    </x:border>
    <x:border>
      <x:left style="thin">
        <x:color rgb="FF28434D"/>
      </x:left>
      <x:right style="thin">
        <x:color rgb="FFD7E2E4"/>
      </x:right>
      <x:top style="thin">
        <x:color rgb="FFD7E2E4"/>
      </x:top>
      <x:bottom style="thin">
        <x:color rgb="FFD7E2E4"/>
      </x:bottom>
    </x:border>
    <x:border>
      <x:left style="thin">
        <x:color rgb="FFD7E2E4"/>
      </x:left>
      <x:right style="thin">
        <x:color rgb="FFD7E2E4"/>
      </x:right>
      <x:top style="thin">
        <x:color rgb="FFD7E2E4"/>
      </x:top>
      <x:bottom style="thin">
        <x:color rgb="FFD7E2E4"/>
      </x:bottom>
    </x:border>
    <x:border>
      <x:left style="thin">
        <x:color rgb="FFD7E2E4"/>
      </x:left>
      <x:top style="thin">
        <x:color rgb="FFD7E2E4"/>
      </x:top>
      <x:bottom style="thin">
        <x:color rgb="FFD7E2E4"/>
      </x:bottom>
    </x:border>
    <x:border>
      <x:left style="thin">
        <x:color rgb="FF28434D"/>
      </x:left>
      <x:right style="thin">
        <x:color rgb="FFD7E2E4"/>
      </x:right>
      <x:top style="thin">
        <x:color rgb="FFD7E2E4"/>
      </x:top>
      <x:bottom style="thin">
        <x:color rgb="FF28434D"/>
      </x:bottom>
    </x:border>
    <x:border>
      <x:left style="thin">
        <x:color rgb="FFD7E2E4"/>
      </x:left>
      <x:right style="thin">
        <x:color rgb="FFD7E2E4"/>
      </x:right>
      <x:top style="thin">
        <x:color rgb="FFD7E2E4"/>
      </x:top>
      <x:bottom style="thin">
        <x:color rgb="FF28434D"/>
      </x:bottom>
    </x:border>
    <x:border>
      <x:left style="thin">
        <x:color rgb="FFD7E2E4"/>
      </x:left>
      <x:top style="thin">
        <x:color rgb="FFD7E2E4"/>
      </x:top>
      <x:bottom style="thin">
        <x:color rgb="FF28434D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200" fontId="5" fillId="5" borderId="3" xfId="0" applyNumberFormat="1" applyFont="1" applyFill="1" applyBorder="1" applyAlignment="1">
      <x:alignment horizontal="center" vertical="center"/>
    </x:xf>
    <x:xf numFmtId="200" fontId="5" fillId="5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4" fillId="4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/>
    <x:xf numFmtId="20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200" fontId="1" fillId="0" borderId="13" xfId="0" applyNumberFormat="1" applyFont="1" applyFill="1" applyBorder="1"/>
    <x:xf numFmtId="0" fontId="1" fillId="0" borderId="14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200" fontId="1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0" fontId="4" fillId="4" borderId="2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0" fontId="4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8C5200"/>
      </x:font>
      <x:fill>
        <x:patternFill patternType="solid"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c4b763fe94a6d" /><Relationship Type="http://schemas.openxmlformats.org/officeDocument/2006/relationships/theme" Target="/xl/theme/theme1.xml" Id="R6e2fbfe5e79743d6" /><Relationship Type="http://schemas.openxmlformats.org/officeDocument/2006/relationships/sharedStrings" Target="/xl/sharedStrings.xml" Id="Raa8a3538f14d44f4" /><Relationship Type="http://schemas.openxmlformats.org/officeDocument/2006/relationships/worksheet" Target="/xl/worksheets/sheet1.xml" Id="R19d607ec969a4e15" /><Relationship Type="http://schemas.openxmlformats.org/officeDocument/2006/relationships/worksheet" Target="/xl/worksheets/sheet2.xml" Id="R7b2b69c3d5524cfb" /><Relationship Type="http://schemas.openxmlformats.org/officeDocument/2006/relationships/worksheet" Target="/xl/worksheets/sheet3.xml" Id="Rbbce25554c1442cf" /><Relationship Type="http://schemas.openxmlformats.org/officeDocument/2006/relationships/worksheet" Target="/xl/worksheets/sheet4.xml" Id="R5d7dbe1cf1814400" /><Relationship Type="http://schemas.openxmlformats.org/officeDocument/2006/relationships/worksheet" Target="/xl/worksheets/sheet5.xml" Id="R0a9ff8e8641044bd" /><Relationship Type="http://schemas.microsoft.com/office/2017/10/relationships/person" Target="/xl/persons/person.xml" Id="Rc4efdd0d8c754f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0423f6017d46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Reported net by vehicle (RM)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Reported Net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"RM"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&quot; 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0423f6017d46b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LXX" id="{48BD63FD-2955-4600-B2EF-DF120B2F5CBB}"/>
</xltc:personList>
</file>

<file path=xl/tables/table1.xml><?xml version="1.0" encoding="utf-8"?>
<x:table xmlns:x="http://schemas.openxmlformats.org/spreadsheetml/2006/main" id="1" name="RentalsTable" displayName="RentalsTable" ref="A1:N4" headerRowCount="1" totalsRowCount="0" totalsRowShown="0">
  <x:tableColumns count="14">
    <x:tableColumn id="1" name="Rental ID"/>
    <x:tableColumn id="2" name="Plate"/>
    <x:tableColumn id="3" name="Start Date"/>
    <x:tableColumn id="4" name="End Date"/>
    <x:tableColumn id="5" name="Days"/>
    <x:tableColumn id="6" name="Vehicle Cost"/>
    <x:tableColumn id="7" name="Total Pay"/>
    <x:tableColumn id="8" name="Reported Total Get"/>
    <x:tableColumn id="9" name="Item Get Back"/>
    <x:tableColumn id="10" name="Get Difference"/>
    <x:tableColumn id="11" name="Reported Net"/>
    <x:tableColumn id="12" name="Net / Day"/>
    <x:tableColumn id="13" name="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Table" displayName="ItemsTable" ref="A1:G33" headerRowCount="1" totalsRowCount="0" totalsRowShown="0">
  <x:tableColumns count="7">
    <x:tableColumn id="1" name="Rental ID"/>
    <x:tableColumn id="2" name="Plate"/>
    <x:tableColumn id="3" name="Item"/>
    <x:tableColumn id="4" name="Pay"/>
    <x:tableColumn id="5" name="Get Back"/>
    <x:tableColumn id="6" name="Item Delta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f99186d7d144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de56dbd42843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699a26ae1143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4" t="str">
        <x:v>TOTAL RENT · PRIVATE RENTAL LEDGER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"/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6" t="str">
        <x:v>Approved records only · financial discrepancies remain visible for review</x:v>
      </x:c>
      <x:c r="B3" s="6"/>
      <x:c r="C3" s="6"/>
      <x:c r="D3" s="6"/>
      <x:c r="E3" s="6"/>
      <x:c r="F3" s="6"/>
      <x:c r="G3" s="6"/>
      <x:c r="H3" s="6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1" t="str">
        <x:v>REPORTED NET</x:v>
      </x:c>
      <x:c r="B5" s="12" t="str">
        <x:v>VEHICLE COST</x:v>
      </x:c>
      <x:c r="C5" s="1"/>
      <x:c r="D5" s="11" t="str">
        <x:v>TOTAL PAY</x:v>
      </x:c>
      <x:c r="E5" s="12" t="str">
        <x:v>ITEM GET BACK</x:v>
      </x:c>
      <x:c r="F5" s="1"/>
      <x:c r="G5" s="11" t="str">
        <x:v>SESSIONS</x:v>
      </x:c>
      <x:c r="H5" s="12" t="str">
        <x:v>NEEDS REVIEW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1" t="n">
        <x:f>SUM('Rentals'!$K$2:$K$4)</x:f>
        <x:v>2870</x:v>
      </x:c>
      <x:c r="B6" s="21" t="n">
        <x:f>SUM('Rentals'!$F$2:$F$4)</x:f>
        <x:v>6177</x:v>
      </x:c>
      <x:c r="C6" s="1"/>
      <x:c r="D6" s="21" t="n">
        <x:f>SUM('Rentals'!$G$2:$G$4)</x:f>
        <x:v>2705</x:v>
      </x:c>
      <x:c r="E6" s="21" t="n">
        <x:f>SUM('Rentals'!$I$2:$I$4)</x:f>
        <x:v>6670</x:v>
      </x:c>
      <x:c r="F6" s="1"/>
      <x:c r="G6" s="19" t="n">
        <x:f>COUNTA('Rentals'!$A$2:$A$4)</x:f>
        <x:v>3</x:v>
      </x:c>
      <x:c r="H6" s="19" t="n">
        <x:f>COUNTIF('Rentals'!$M$2:$M$4,"Needs Review")</x:f>
        <x:v>1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2"/>
      <x:c r="B7" s="22"/>
      <x:c r="C7" s="1"/>
      <x:c r="D7" s="22"/>
      <x:c r="E7" s="22"/>
      <x:c r="F7" s="1"/>
      <x:c r="G7" s="20"/>
      <x:c r="H7" s="20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6" t="str">
        <x:v>Plate</x:v>
      </x:c>
      <x:c r="B10" s="27" t="str">
        <x:v>Reported Net</x:v>
      </x:c>
      <x:c r="C10" s="28" t="str">
        <x:v>Status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9" t="str">
        <x:f>'Rentals'!B2</x:f>
        <x:v>VHH7933</x:v>
      </x:c>
      <x:c r="B11" s="30" t="n">
        <x:f>'Rentals'!K2</x:f>
        <x:v>2054</x:v>
      </x:c>
      <x:c r="C11" s="31" t="str">
        <x:f>'Rentals'!M2</x:f>
        <x:v>Needs Review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9" t="str">
        <x:f>'Rentals'!B3</x:f>
        <x:v>VHF2040</x:v>
      </x:c>
      <x:c r="B12" s="30" t="n">
        <x:f>'Rentals'!K3</x:f>
        <x:v>159</x:v>
      </x:c>
      <x:c r="C12" s="31" t="str">
        <x:f>'Rentals'!M3</x:f>
        <x:v>Approved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2" t="str">
        <x:f>'Rentals'!B4</x:f>
        <x:v>VHH7841</x:v>
      </x:c>
      <x:c r="B13" s="33" t="n">
        <x:f>'Rentals'!K4</x:f>
        <x:v>657</x:v>
      </x:c>
      <x:c r="C13" s="34" t="str">
        <x:f>'Rentals'!M4</x:f>
        <x:v>Approved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H2"/>
    <x:mergeCell ref="A6:A7"/>
    <x:mergeCell ref="B6:B7"/>
    <x:mergeCell ref="D6:D7"/>
    <x:mergeCell ref="E6:E7"/>
    <x:mergeCell ref="G6:G7"/>
    <x:mergeCell ref="H6:H7"/>
  </x:mergeCells>
  <x:pageMargins left="0.7" right="0.7" top="0.75" bottom="0.75" header="0.3" footer="0.3"/>
  <x:drawing xmlns:r="http://schemas.openxmlformats.org/officeDocument/2006/relationships" r:id="Rf8f99186d7d1442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3" hidden="0" customWidth="1"/>
    <x:col min="4" max="4" width="13" hidden="0" customWidth="1"/>
    <x:col min="5" max="5" width="9" hidden="0" customWidth="1"/>
    <x:col min="6" max="6" width="15" hidden="0" customWidth="1"/>
    <x:col min="7" max="7" width="14" hidden="0" customWidth="1"/>
    <x:col min="8" max="8" width="19" hidden="0" customWidth="1"/>
    <x:col min="9" max="9" width="17" hidden="0" customWidth="1"/>
    <x:col min="10" max="10" width="16" hidden="0" customWidth="1"/>
    <x:col min="11" max="11" width="15" hidden="0" customWidth="1"/>
    <x:col min="12" max="12" width="13" hidden="0" customWidth="1"/>
    <x:col min="13" max="13" width="15" hidden="0" customWidth="1"/>
    <x:col min="14" max="14" width="58" hidden="0" customWidth="1"/>
  </x:cols>
  <x:sheetData>
    <x:row r="1">
      <x:c r="A1" s="11" t="str">
        <x:v>Rental ID</x:v>
      </x:c>
      <x:c r="B1" s="24" t="str">
        <x:v>Plate</x:v>
      </x:c>
      <x:c r="C1" s="24" t="str">
        <x:v>Start Date</x:v>
      </x:c>
      <x:c r="D1" s="24" t="str">
        <x:v>End Date</x:v>
      </x:c>
      <x:c r="E1" s="24" t="str">
        <x:v>Days</x:v>
      </x:c>
      <x:c r="F1" s="24" t="str">
        <x:v>Vehicle Cost</x:v>
      </x:c>
      <x:c r="G1" s="24" t="str">
        <x:v>Total Pay</x:v>
      </x:c>
      <x:c r="H1" s="24" t="str">
        <x:v>Reported Total Get</x:v>
      </x:c>
      <x:c r="I1" s="24" t="str">
        <x:v>Item Get Back</x:v>
      </x:c>
      <x:c r="J1" s="24" t="str">
        <x:v>Get Difference</x:v>
      </x:c>
      <x:c r="K1" s="24" t="str">
        <x:v>Reported Net</x:v>
      </x:c>
      <x:c r="L1" s="24" t="str">
        <x:v>Net / Day</x:v>
      </x:c>
      <x:c r="M1" s="24" t="str">
        <x:v>Status</x:v>
      </x:c>
      <x:c r="N1" s="12" t="str">
        <x:v>Notes</x:v>
      </x:c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2" customHeight="1">
      <x:c r="A2" s="1" t="str">
        <x:v>vhh7933-2026-07-22</x:v>
      </x:c>
      <x:c r="B2" s="1" t="str">
        <x:v>VHH7933</x:v>
      </x:c>
      <x:c r="C2" s="35" t="n">
        <x:v>46225</x:v>
      </x:c>
      <x:c r="D2" s="35" t="n">
        <x:v>46239</x:v>
      </x:c>
      <x:c r="E2" s="1" t="n">
        <x:v>14</x:v>
      </x:c>
      <x:c r="F2" s="25" t="n">
        <x:v>2249</x:v>
      </x:c>
      <x:c r="G2" s="25" t="n">
        <x:v>315</x:v>
      </x:c>
      <x:c r="H2" s="25" t="n">
        <x:v>510</x:v>
      </x:c>
      <x:c r="I2" s="25" t="n">
        <x:v>2110</x:v>
      </x:c>
      <x:c r="J2" s="25" t="n">
        <x:f>I2-H2</x:f>
        <x:v>1600</x:v>
      </x:c>
      <x:c r="K2" s="25" t="n">
        <x:v>2054</x:v>
      </x:c>
      <x:c r="L2" s="25" t="n">
        <x:f>IF(E2=0,0,K2/E2)</x:f>
        <x:v>146.71428571428572</x:v>
      </x:c>
      <x:c r="M2" s="1" t="str">
        <x:v>Needs Review</x:v>
      </x:c>
      <x:c r="N2" s="36" t="str">
        <x:v>Reported Total Get was RM 510, but the five items total RM 2,110 because item 5 adds RM 1,600. Net RM 2,054 is preserved as reported.</x:v>
      </x:c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2" customHeight="1">
      <x:c r="A3" s="1" t="str">
        <x:v>vhf2040-2026-06-16</x:v>
      </x:c>
      <x:c r="B3" s="1" t="str">
        <x:v>VHF2040</x:v>
      </x:c>
      <x:c r="C3" s="35" t="n">
        <x:v>46189</x:v>
      </x:c>
      <x:c r="D3" s="35" t="n">
        <x:v>46202</x:v>
      </x:c>
      <x:c r="E3" s="1" t="n">
        <x:v>13</x:v>
      </x:c>
      <x:c r="F3" s="25" t="n">
        <x:v>1881</x:v>
      </x:c>
      <x:c r="G3" s="25" t="n">
        <x:v>1260</x:v>
      </x:c>
      <x:c r="H3" s="25" t="n">
        <x:v>2040</x:v>
      </x:c>
      <x:c r="I3" s="25" t="n">
        <x:v>2040</x:v>
      </x:c>
      <x:c r="J3" s="25" t="n">
        <x:f>I3-H3</x:f>
        <x:v>0</x:v>
      </x:c>
      <x:c r="K3" s="25" t="n">
        <x:v>159</x:v>
      </x:c>
      <x:c r="L3" s="25" t="n">
        <x:f>IF(E3=0,0,K3/E3)</x:f>
        <x:v>12.23076923076923</x:v>
      </x:c>
      <x:c r="M3" s="1" t="str">
        <x:v>Approved</x:v>
      </x:c>
      <x:c r="N3" s="36" t="str">
        <x:v>9 completed items and 3 pending items</x:v>
      </x:c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2" customHeight="1">
      <x:c r="A4" s="1" t="str">
        <x:v>vhh7841-2026-06-30</x:v>
      </x:c>
      <x:c r="B4" s="1" t="str">
        <x:v>VHH7841</x:v>
      </x:c>
      <x:c r="C4" s="35" t="n">
        <x:v>46203</x:v>
      </x:c>
      <x:c r="D4" s="35" t="n">
        <x:v>46217</x:v>
      </x:c>
      <x:c r="E4" s="1" t="n">
        <x:v>14</x:v>
      </x:c>
      <x:c r="F4" s="25" t="n">
        <x:v>2047</x:v>
      </x:c>
      <x:c r="G4" s="25" t="n">
        <x:v>1130</x:v>
      </x:c>
      <x:c r="H4" s="25" t="n">
        <x:v>2520</x:v>
      </x:c>
      <x:c r="I4" s="25" t="n">
        <x:v>2520</x:v>
      </x:c>
      <x:c r="J4" s="25" t="n">
        <x:f>I4-H4</x:f>
        <x:v>0</x:v>
      </x:c>
      <x:c r="K4" s="25" t="n">
        <x:v>657</x:v>
      </x:c>
      <x:c r="L4" s="25" t="n">
        <x:f>IF(E4=0,0,K4/E4)</x:f>
        <x:v>46.92857142857143</x:v>
      </x:c>
      <x:c r="M4" s="1" t="str">
        <x:v>Approved</x:v>
      </x:c>
      <x:c r="N4" s="36" t="str">
        <x:v>First record</x:v>
      </x:c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conditionalFormatting sqref="M2:M4">
    <x:cfRule type="containsText" dxfId="0" priority="1" operator="containsText" text="Needs Review"/>
  </x:conditionalFormatting>
  <x:dataValidations count="1">
    <x:dataValidation type="list" sqref="M2:M4">
      <x:formula1>"Approved,Needs Review,Archived"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de56dbd42843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1" t="str">
        <x:v>Rental ID</x:v>
      </x:c>
      <x:c r="B1" s="24" t="str">
        <x:v>Plate</x:v>
      </x:c>
      <x:c r="C1" s="24" t="str">
        <x:v>Item</x:v>
      </x:c>
      <x:c r="D1" s="24" t="str">
        <x:v>Pay</x:v>
      </x:c>
      <x:c r="E1" s="24" t="str">
        <x:v>Get Back</x:v>
      </x:c>
      <x:c r="F1" s="24" t="str">
        <x:v>Item Delta</x:v>
      </x:c>
      <x:c r="G1" s="12" t="str">
        <x:v>Status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vhh7933-2026-07-22</x:v>
      </x:c>
      <x:c r="B2" s="1" t="str">
        <x:v>VHH7933</x:v>
      </x:c>
      <x:c r="C2" s="1" t="n">
        <x:v>1</x:v>
      </x:c>
      <x:c r="D2" s="25" t="n">
        <x:v>0</x:v>
      </x:c>
      <x:c r="E2" s="25" t="n">
        <x:v>0</x:v>
      </x:c>
      <x:c r="F2" s="25" t="n">
        <x:v>0</x:v>
      </x:c>
      <x:c r="G2" s="1" t="str">
        <x:v>recorded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vhh7933-2026-07-22</x:v>
      </x:c>
      <x:c r="B3" s="1" t="str">
        <x:v>VHH7933</x:v>
      </x:c>
      <x:c r="C3" s="1" t="n">
        <x:v>2</x:v>
      </x:c>
      <x:c r="D3" s="25" t="n">
        <x:v>105</x:v>
      </x:c>
      <x:c r="E3" s="25" t="n">
        <x:v>170</x:v>
      </x:c>
      <x:c r="F3" s="25" t="n">
        <x:v>65</x:v>
      </x:c>
      <x:c r="G3" s="1" t="str">
        <x:v>recorded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vhh7933-2026-07-22</x:v>
      </x:c>
      <x:c r="B4" s="1" t="str">
        <x:v>VHH7933</x:v>
      </x:c>
      <x:c r="C4" s="1" t="n">
        <x:v>3</x:v>
      </x:c>
      <x:c r="D4" s="25" t="n">
        <x:v>105</x:v>
      </x:c>
      <x:c r="E4" s="25" t="n">
        <x:v>170</x:v>
      </x:c>
      <x:c r="F4" s="25" t="n">
        <x:v>65</x:v>
      </x:c>
      <x:c r="G4" s="1" t="str">
        <x:v>recorded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vhh7933-2026-07-22</x:v>
      </x:c>
      <x:c r="B5" s="1" t="str">
        <x:v>VHH7933</x:v>
      </x:c>
      <x:c r="C5" s="1" t="n">
        <x:v>4</x:v>
      </x:c>
      <x:c r="D5" s="25" t="n">
        <x:v>105</x:v>
      </x:c>
      <x:c r="E5" s="25" t="n">
        <x:v>170</x:v>
      </x:c>
      <x:c r="F5" s="25" t="n">
        <x:v>65</x:v>
      </x:c>
      <x:c r="G5" s="1" t="str">
        <x:v>recorded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vhh7933-2026-07-22</x:v>
      </x:c>
      <x:c r="B6" s="1" t="str">
        <x:v>VHH7933</x:v>
      </x:c>
      <x:c r="C6" s="1" t="n">
        <x:v>5</x:v>
      </x:c>
      <x:c r="D6" s="25" t="n">
        <x:v>0</x:v>
      </x:c>
      <x:c r="E6" s="25" t="n">
        <x:v>1600</x:v>
      </x:c>
      <x:c r="F6" s="25" t="n">
        <x:v>1600</x:v>
      </x:c>
      <x:c r="G6" s="1" t="str">
        <x:v>recorded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vhf2040-2026-06-16</x:v>
      </x:c>
      <x:c r="B7" s="1" t="str">
        <x:v>VHF2040</x:v>
      </x:c>
      <x:c r="C7" s="1" t="n">
        <x:v>1</x:v>
      </x:c>
      <x:c r="D7" s="25" t="n">
        <x:v>105</x:v>
      </x:c>
      <x:c r="E7" s="25" t="n">
        <x:v>170</x:v>
      </x:c>
      <x:c r="F7" s="25" t="n">
        <x:v>65</x:v>
      </x:c>
      <x:c r="G7" s="1" t="str">
        <x:v>pending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vhf2040-2026-06-16</x:v>
      </x:c>
      <x:c r="B8" s="1" t="str">
        <x:v>VHF2040</x:v>
      </x:c>
      <x:c r="C8" s="1" t="n">
        <x:v>2</x:v>
      </x:c>
      <x:c r="D8" s="25" t="n">
        <x:v>105</x:v>
      </x:c>
      <x:c r="E8" s="25" t="n">
        <x:v>170</x:v>
      </x:c>
      <x:c r="F8" s="25" t="n">
        <x:v>65</x:v>
      </x:c>
      <x:c r="G8" s="1" t="str">
        <x:v>pending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vhf2040-2026-06-16</x:v>
      </x:c>
      <x:c r="B9" s="1" t="str">
        <x:v>VHF2040</x:v>
      </x:c>
      <x:c r="C9" s="1" t="n">
        <x:v>3</x:v>
      </x:c>
      <x:c r="D9" s="25" t="n">
        <x:v>105</x:v>
      </x:c>
      <x:c r="E9" s="25" t="n">
        <x:v>170</x:v>
      </x:c>
      <x:c r="F9" s="25" t="n">
        <x:v>65</x:v>
      </x:c>
      <x:c r="G9" s="1" t="str">
        <x:v>pending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vhf2040-2026-06-16</x:v>
      </x:c>
      <x:c r="B10" s="1" t="str">
        <x:v>VHF2040</x:v>
      </x:c>
      <x:c r="C10" s="1" t="n">
        <x:v>4</x:v>
      </x:c>
      <x:c r="D10" s="25" t="n">
        <x:v>105</x:v>
      </x:c>
      <x:c r="E10" s="25" t="n">
        <x:v>170</x:v>
      </x:c>
      <x:c r="F10" s="25" t="n">
        <x:v>65</x:v>
      </x:c>
      <x:c r="G10" s="1" t="str">
        <x:v>completed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vhf2040-2026-06-16</x:v>
      </x:c>
      <x:c r="B11" s="1" t="str">
        <x:v>VHF2040</x:v>
      </x:c>
      <x:c r="C11" s="1" t="n">
        <x:v>5</x:v>
      </x:c>
      <x:c r="D11" s="25" t="n">
        <x:v>105</x:v>
      </x:c>
      <x:c r="E11" s="25" t="n">
        <x:v>170</x:v>
      </x:c>
      <x:c r="F11" s="25" t="n">
        <x:v>65</x:v>
      </x:c>
      <x:c r="G11" s="1" t="str">
        <x:v>completed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vhf2040-2026-06-16</x:v>
      </x:c>
      <x:c r="B12" s="1" t="str">
        <x:v>VHF2040</x:v>
      </x:c>
      <x:c r="C12" s="1" t="n">
        <x:v>6</x:v>
      </x:c>
      <x:c r="D12" s="25" t="n">
        <x:v>105</x:v>
      </x:c>
      <x:c r="E12" s="25" t="n">
        <x:v>170</x:v>
      </x:c>
      <x:c r="F12" s="25" t="n">
        <x:v>65</x:v>
      </x:c>
      <x:c r="G12" s="1" t="str">
        <x:v>completed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vhf2040-2026-06-16</x:v>
      </x:c>
      <x:c r="B13" s="1" t="str">
        <x:v>VHF2040</x:v>
      </x:c>
      <x:c r="C13" s="1" t="n">
        <x:v>7</x:v>
      </x:c>
      <x:c r="D13" s="25" t="n">
        <x:v>105</x:v>
      </x:c>
      <x:c r="E13" s="25" t="n">
        <x:v>170</x:v>
      </x:c>
      <x:c r="F13" s="25" t="n">
        <x:v>65</x:v>
      </x:c>
      <x:c r="G13" s="1" t="str">
        <x:v>completed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vhf2040-2026-06-16</x:v>
      </x:c>
      <x:c r="B14" s="1" t="str">
        <x:v>VHF2040</x:v>
      </x:c>
      <x:c r="C14" s="1" t="n">
        <x:v>8</x:v>
      </x:c>
      <x:c r="D14" s="25" t="n">
        <x:v>105</x:v>
      </x:c>
      <x:c r="E14" s="25" t="n">
        <x:v>170</x:v>
      </x:c>
      <x:c r="F14" s="25" t="n">
        <x:v>65</x:v>
      </x:c>
      <x:c r="G14" s="1" t="str">
        <x:v>completed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vhf2040-2026-06-16</x:v>
      </x:c>
      <x:c r="B15" s="1" t="str">
        <x:v>VHF2040</x:v>
      </x:c>
      <x:c r="C15" s="1" t="n">
        <x:v>9</x:v>
      </x:c>
      <x:c r="D15" s="25" t="n">
        <x:v>105</x:v>
      </x:c>
      <x:c r="E15" s="25" t="n">
        <x:v>170</x:v>
      </x:c>
      <x:c r="F15" s="25" t="n">
        <x:v>65</x:v>
      </x:c>
      <x:c r="G15" s="1" t="str">
        <x:v>completed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vhf2040-2026-06-16</x:v>
      </x:c>
      <x:c r="B16" s="1" t="str">
        <x:v>VHF2040</x:v>
      </x:c>
      <x:c r="C16" s="1" t="n">
        <x:v>10</x:v>
      </x:c>
      <x:c r="D16" s="25" t="n">
        <x:v>105</x:v>
      </x:c>
      <x:c r="E16" s="25" t="n">
        <x:v>170</x:v>
      </x:c>
      <x:c r="F16" s="25" t="n">
        <x:v>65</x:v>
      </x:c>
      <x:c r="G16" s="1" t="str">
        <x:v>completed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vhf2040-2026-06-16</x:v>
      </x:c>
      <x:c r="B17" s="1" t="str">
        <x:v>VHF2040</x:v>
      </x:c>
      <x:c r="C17" s="1" t="n">
        <x:v>11</x:v>
      </x:c>
      <x:c r="D17" s="25" t="n">
        <x:v>105</x:v>
      </x:c>
      <x:c r="E17" s="25" t="n">
        <x:v>170</x:v>
      </x:c>
      <x:c r="F17" s="25" t="n">
        <x:v>65</x:v>
      </x:c>
      <x:c r="G17" s="1" t="str">
        <x:v>completed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vhf2040-2026-06-16</x:v>
      </x:c>
      <x:c r="B18" s="1" t="str">
        <x:v>VHF2040</x:v>
      </x:c>
      <x:c r="C18" s="1" t="n">
        <x:v>12</x:v>
      </x:c>
      <x:c r="D18" s="25" t="n">
        <x:v>105</x:v>
      </x:c>
      <x:c r="E18" s="25" t="n">
        <x:v>170</x:v>
      </x:c>
      <x:c r="F18" s="25" t="n">
        <x:v>65</x:v>
      </x:c>
      <x:c r="G18" s="1" t="str">
        <x:v>completed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vhh7841-2026-06-30</x:v>
      </x:c>
      <x:c r="B19" s="1" t="str">
        <x:v>VHH7841</x:v>
      </x:c>
      <x:c r="C19" s="1" t="n">
        <x:v>1</x:v>
      </x:c>
      <x:c r="D19" s="25" t="n">
        <x:v>105</x:v>
      </x:c>
      <x:c r="E19" s="25" t="n">
        <x:v>170</x:v>
      </x:c>
      <x:c r="F19" s="25" t="n">
        <x:v>65</x:v>
      </x:c>
      <x:c r="G19" s="1" t="str">
        <x:v>recorded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vhh7841-2026-06-30</x:v>
      </x:c>
      <x:c r="B20" s="1" t="str">
        <x:v>VHH7841</x:v>
      </x:c>
      <x:c r="C20" s="1" t="n">
        <x:v>2</x:v>
      </x:c>
      <x:c r="D20" s="25" t="n">
        <x:v>60</x:v>
      </x:c>
      <x:c r="E20" s="25" t="n">
        <x:v>170</x:v>
      </x:c>
      <x:c r="F20" s="25" t="n">
        <x:v>110</x:v>
      </x:c>
      <x:c r="G20" s="1" t="str">
        <x:v>recorded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vhh7841-2026-06-30</x:v>
      </x:c>
      <x:c r="B21" s="1" t="str">
        <x:v>VHH7841</x:v>
      </x:c>
      <x:c r="C21" s="1" t="n">
        <x:v>3</x:v>
      </x:c>
      <x:c r="D21" s="25" t="n">
        <x:v>105</x:v>
      </x:c>
      <x:c r="E21" s="25" t="n">
        <x:v>170</x:v>
      </x:c>
      <x:c r="F21" s="25" t="n">
        <x:v>65</x:v>
      </x:c>
      <x:c r="G21" s="1" t="str">
        <x:v>recorded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vhh7841-2026-06-30</x:v>
      </x:c>
      <x:c r="B22" s="1" t="str">
        <x:v>VHH7841</x:v>
      </x:c>
      <x:c r="C22" s="1" t="n">
        <x:v>4</x:v>
      </x:c>
      <x:c r="D22" s="25" t="n">
        <x:v>60</x:v>
      </x:c>
      <x:c r="E22" s="25" t="n">
        <x:v>170</x:v>
      </x:c>
      <x:c r="F22" s="25" t="n">
        <x:v>110</x:v>
      </x:c>
      <x:c r="G22" s="1" t="str">
        <x:v>recorded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vhh7841-2026-06-30</x:v>
      </x:c>
      <x:c r="B23" s="1" t="str">
        <x:v>VHH7841</x:v>
      </x:c>
      <x:c r="C23" s="1" t="n">
        <x:v>5</x:v>
      </x:c>
      <x:c r="D23" s="25" t="n">
        <x:v>65</x:v>
      </x:c>
      <x:c r="E23" s="25" t="n">
        <x:v>170</x:v>
      </x:c>
      <x:c r="F23" s="25" t="n">
        <x:v>105</x:v>
      </x:c>
      <x:c r="G23" s="1" t="str">
        <x:v>recorded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vhh7841-2026-06-30</x:v>
      </x:c>
      <x:c r="B24" s="1" t="str">
        <x:v>VHH7841</x:v>
      </x:c>
      <x:c r="C24" s="1" t="n">
        <x:v>6</x:v>
      </x:c>
      <x:c r="D24" s="25" t="n">
        <x:v>65</x:v>
      </x:c>
      <x:c r="E24" s="25" t="n">
        <x:v>170</x:v>
      </x:c>
      <x:c r="F24" s="25" t="n">
        <x:v>105</x:v>
      </x:c>
      <x:c r="G24" s="1" t="str">
        <x:v>recorded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vhh7841-2026-06-30</x:v>
      </x:c>
      <x:c r="B25" s="1" t="str">
        <x:v>VHH7841</x:v>
      </x:c>
      <x:c r="C25" s="1" t="n">
        <x:v>7</x:v>
      </x:c>
      <x:c r="D25" s="25" t="n">
        <x:v>65</x:v>
      </x:c>
      <x:c r="E25" s="25" t="n">
        <x:v>170</x:v>
      </x:c>
      <x:c r="F25" s="25" t="n">
        <x:v>105</x:v>
      </x:c>
      <x:c r="G25" s="1" t="str">
        <x:v>recorded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vhh7841-2026-06-30</x:v>
      </x:c>
      <x:c r="B26" s="1" t="str">
        <x:v>VHH7841</x:v>
      </x:c>
      <x:c r="C26" s="1" t="n">
        <x:v>8</x:v>
      </x:c>
      <x:c r="D26" s="25" t="n">
        <x:v>65</x:v>
      </x:c>
      <x:c r="E26" s="25" t="n">
        <x:v>170</x:v>
      </x:c>
      <x:c r="F26" s="25" t="n">
        <x:v>105</x:v>
      </x:c>
      <x:c r="G26" s="1" t="str">
        <x:v>recorded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vhh7841-2026-06-30</x:v>
      </x:c>
      <x:c r="B27" s="1" t="str">
        <x:v>VHH7841</x:v>
      </x:c>
      <x:c r="C27" s="1" t="n">
        <x:v>9</x:v>
      </x:c>
      <x:c r="D27" s="25" t="n">
        <x:v>65</x:v>
      </x:c>
      <x:c r="E27" s="25" t="n">
        <x:v>170</x:v>
      </x:c>
      <x:c r="F27" s="25" t="n">
        <x:v>105</x:v>
      </x:c>
      <x:c r="G27" s="1" t="str">
        <x:v>recorded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vhh7841-2026-06-30</x:v>
      </x:c>
      <x:c r="B28" s="1" t="str">
        <x:v>VHH7841</x:v>
      </x:c>
      <x:c r="C28" s="1" t="n">
        <x:v>10</x:v>
      </x:c>
      <x:c r="D28" s="25" t="n">
        <x:v>60</x:v>
      </x:c>
      <x:c r="E28" s="25" t="n">
        <x:v>170</x:v>
      </x:c>
      <x:c r="F28" s="25" t="n">
        <x:v>110</x:v>
      </x:c>
      <x:c r="G28" s="1" t="str">
        <x:v>recorded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vhh7841-2026-06-30</x:v>
      </x:c>
      <x:c r="B29" s="1" t="str">
        <x:v>VHH7841</x:v>
      </x:c>
      <x:c r="C29" s="1" t="n">
        <x:v>11</x:v>
      </x:c>
      <x:c r="D29" s="25" t="n">
        <x:v>65</x:v>
      </x:c>
      <x:c r="E29" s="25" t="n">
        <x:v>140</x:v>
      </x:c>
      <x:c r="F29" s="25" t="n">
        <x:v>75</x:v>
      </x:c>
      <x:c r="G29" s="1" t="str">
        <x:v>recorded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 t="str">
        <x:v>vhh7841-2026-06-30</x:v>
      </x:c>
      <x:c r="B30" s="1" t="str">
        <x:v>VHH7841</x:v>
      </x:c>
      <x:c r="C30" s="1" t="n">
        <x:v>12</x:v>
      </x:c>
      <x:c r="D30" s="25" t="n">
        <x:v>65</x:v>
      </x:c>
      <x:c r="E30" s="25" t="n">
        <x:v>170</x:v>
      </x:c>
      <x:c r="F30" s="25" t="n">
        <x:v>105</x:v>
      </x:c>
      <x:c r="G30" s="1" t="str">
        <x:v>recorded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 t="str">
        <x:v>vhh7841-2026-06-30</x:v>
      </x:c>
      <x:c r="B31" s="1" t="str">
        <x:v>VHH7841</x:v>
      </x:c>
      <x:c r="C31" s="1" t="n">
        <x:v>13</x:v>
      </x:c>
      <x:c r="D31" s="25" t="n">
        <x:v>65</x:v>
      </x:c>
      <x:c r="E31" s="25" t="n">
        <x:v>170</x:v>
      </x:c>
      <x:c r="F31" s="25" t="n">
        <x:v>105</x:v>
      </x:c>
      <x:c r="G31" s="1" t="str">
        <x:v>recorded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 t="str">
        <x:v>vhh7841-2026-06-30</x:v>
      </x:c>
      <x:c r="B32" s="1" t="str">
        <x:v>VHH7841</x:v>
      </x:c>
      <x:c r="C32" s="1" t="n">
        <x:v>14</x:v>
      </x:c>
      <x:c r="D32" s="25" t="n">
        <x:v>110</x:v>
      </x:c>
      <x:c r="E32" s="25" t="n">
        <x:v>170</x:v>
      </x:c>
      <x:c r="F32" s="25" t="n">
        <x:v>60</x:v>
      </x:c>
      <x:c r="G32" s="1" t="str">
        <x:v>recorded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 t="str">
        <x:v>vhh7841-2026-06-30</x:v>
      </x:c>
      <x:c r="B33" s="1" t="str">
        <x:v>VHH7841</x:v>
      </x:c>
      <x:c r="C33" s="1" t="n">
        <x:v>15</x:v>
      </x:c>
      <x:c r="D33" s="25" t="n">
        <x:v>110</x:v>
      </x:c>
      <x:c r="E33" s="25" t="n">
        <x:v>170</x:v>
      </x:c>
      <x:c r="F33" s="25" t="n">
        <x:v>60</x:v>
      </x:c>
      <x:c r="G33" s="1" t="str">
        <x:v>recorded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  <x:tableParts count="1">
    <x:tablePart xmlns:r="http://schemas.openxmlformats.org/officeDocument/2006/relationships" r:id="R02699a26ae1143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62" hidden="0" customWidth="1"/>
  </x:cols>
  <x:sheetData>
    <x:row r="1">
      <x:c r="A1" s="11" t="str">
        <x:v>Rental ID</x:v>
      </x:c>
      <x:c r="B1" s="24" t="str">
        <x:v>Plate</x:v>
      </x:c>
      <x:c r="C1" s="24" t="str">
        <x:v>Field</x:v>
      </x:c>
      <x:c r="D1" s="24" t="str">
        <x:v>Reported</x:v>
      </x:c>
      <x:c r="E1" s="24" t="str">
        <x:v>Calculated</x:v>
      </x:c>
      <x:c r="F1" s="24" t="str">
        <x:v>Difference</x:v>
      </x:c>
      <x:c r="G1" s="41" t="str">
        <x:v>Reason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4" customHeight="1">
      <x:c r="A2" s="39" t="str">
        <x:v>vhh7933-2026-07-22</x:v>
      </x:c>
      <x:c r="B2" s="39" t="str">
        <x:v>VHH7933</x:v>
      </x:c>
      <x:c r="C2" s="39" t="str">
        <x:v>Total Get</x:v>
      </x:c>
      <x:c r="D2" s="40" t="n">
        <x:v>510</x:v>
      </x:c>
      <x:c r="E2" s="40" t="n">
        <x:v>2110</x:v>
      </x:c>
      <x:c r="F2" s="40" t="n">
        <x:v>1600</x:v>
      </x:c>
      <x:c r="G2" s="39" t="str">
        <x:v>Reported value differs from Pay/Get Back item evidence; both values are preserved.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58" hidden="0" customWidth="1"/>
    <x:col min="5" max="5" width="60" hidden="0" customWidth="1"/>
  </x:cols>
  <x:sheetData>
    <x:row r="1">
      <x:c r="A1" s="11" t="str">
        <x:v>Timestamp</x:v>
      </x:c>
      <x:c r="B1" s="24" t="str">
        <x:v>Actor</x:v>
      </x:c>
      <x:c r="C1" s="24" t="str">
        <x:v>Action</x:v>
      </x:c>
      <x:c r="D1" s="43" t="str">
        <x:v>Record IDs</x:v>
      </x:c>
      <x:c r="E1" s="41" t="str">
        <x:v>Note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4" customHeight="1">
      <x:c r="A2" s="42" t="n">
        <x:v>46238</x:v>
      </x:c>
      <x:c r="B2" s="1" t="str">
        <x:v>Codex</x:v>
      </x:c>
      <x:c r="C2" s="1" t="str">
        <x:v>baseline_import</x:v>
      </x:c>
      <x:c r="D2" s="1" t="str">
        <x:v>vhh7933-2026-07-22, vhf2040-2026-06-16, vhh7841-2026-06-30</x:v>
      </x:c>
      <x:c r="E2" s="1" t="str">
        <x:v>Existing approved records preserved as the initial audit baseline.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